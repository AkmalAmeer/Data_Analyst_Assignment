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8c88b69f6e1b5b/Desktop/Data_Analyst_Assignment/Spreadsheets/"/>
    </mc:Choice>
  </mc:AlternateContent>
  <xr:revisionPtr revIDLastSave="4" documentId="8_{FE98C7FF-F809-48EF-A10F-14BF663FCB1F}" xr6:coauthVersionLast="47" xr6:coauthVersionMax="47" xr10:uidLastSave="{5B0F89C3-EAC9-49B4-8346-D66F971A43B8}"/>
  <bookViews>
    <workbookView xWindow="-108" yWindow="-108" windowWidth="23256" windowHeight="12456" xr2:uid="{3B043CC6-B3E8-4360-98B6-546937666A0F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" i="2"/>
  <c r="D4" i="2"/>
  <c r="D5" i="2"/>
  <c r="D6" i="2"/>
  <c r="D7" i="2"/>
  <c r="D8" i="2"/>
  <c r="D9" i="2"/>
  <c r="D2" i="2"/>
</calcChain>
</file>

<file path=xl/sharedStrings.xml><?xml version="1.0" encoding="utf-8"?>
<sst xmlns="http://schemas.openxmlformats.org/spreadsheetml/2006/main" count="135" uniqueCount="103">
  <si>
    <t>ticket_id</t>
  </si>
  <si>
    <t>created_at</t>
  </si>
  <si>
    <t>closed_at</t>
  </si>
  <si>
    <t>outlet_id</t>
  </si>
  <si>
    <t>cms_id</t>
  </si>
  <si>
    <t>feedback_at</t>
  </si>
  <si>
    <t>feedback_rating</t>
  </si>
  <si>
    <t>ticket_created_at</t>
  </si>
  <si>
    <t>isu-sjd-457</t>
  </si>
  <si>
    <t>isu-sjd-450</t>
  </si>
  <si>
    <t>isu-sjd-451</t>
  </si>
  <si>
    <t>isu-sjd-452</t>
  </si>
  <si>
    <t>isu-sjd-453</t>
  </si>
  <si>
    <t>isu-sjd-454</t>
  </si>
  <si>
    <t>isu-sjd-455</t>
  </si>
  <si>
    <t>isu-sjd-456</t>
  </si>
  <si>
    <t>isu-sjd-458</t>
  </si>
  <si>
    <t>isu-sjd-459</t>
  </si>
  <si>
    <t>isu-sjd-460</t>
  </si>
  <si>
    <t>isu-sjd-461</t>
  </si>
  <si>
    <t>isu-sjd-462</t>
  </si>
  <si>
    <t>isu-sjd-463</t>
  </si>
  <si>
    <t>isu-sjd-464</t>
  </si>
  <si>
    <t>isu-sjd-465</t>
  </si>
  <si>
    <t>isu-sjd-466</t>
  </si>
  <si>
    <t>isu-sjd-467</t>
  </si>
  <si>
    <t>isu-sjd-468</t>
  </si>
  <si>
    <t>isu-sjd-469</t>
  </si>
  <si>
    <t>isu-sjd-470</t>
  </si>
  <si>
    <t>isu-sjd-471</t>
  </si>
  <si>
    <t>isu-sjd-472</t>
  </si>
  <si>
    <t>isu-sjd-473</t>
  </si>
  <si>
    <t>isu-sjd-474</t>
  </si>
  <si>
    <t>isu-sjd-475</t>
  </si>
  <si>
    <t>isu-sjd-476</t>
  </si>
  <si>
    <t>isu-sjd-477</t>
  </si>
  <si>
    <t>isu-sjd-478</t>
  </si>
  <si>
    <t>isu-sjd-479</t>
  </si>
  <si>
    <t>isu-sjd-480</t>
  </si>
  <si>
    <t>vew-iuvd-01</t>
  </si>
  <si>
    <t>vew-iuvd-02</t>
  </si>
  <si>
    <t>vew-iuvd-03</t>
  </si>
  <si>
    <t>vew-iuvd-04</t>
  </si>
  <si>
    <t>vew-iuvd-05</t>
  </si>
  <si>
    <t>vew-iuvd-06</t>
  </si>
  <si>
    <t>vew-iuvd-07</t>
  </si>
  <si>
    <t>vew-iuvd-08</t>
  </si>
  <si>
    <t>vew-iuvd-09</t>
  </si>
  <si>
    <t>vew-iuvd-10</t>
  </si>
  <si>
    <t>vew-iuvd-11</t>
  </si>
  <si>
    <t>vew-iuvd-12</t>
  </si>
  <si>
    <t>vew-iuvd-13</t>
  </si>
  <si>
    <t>vew-iuvd-14</t>
  </si>
  <si>
    <t>vew-iuvd-15</t>
  </si>
  <si>
    <t>vew-iuvd-16</t>
  </si>
  <si>
    <t>vew-iuvd-17</t>
  </si>
  <si>
    <t>vew-iuvd-18</t>
  </si>
  <si>
    <t>vew-iuvd-19</t>
  </si>
  <si>
    <t>vew-iuvd-20</t>
  </si>
  <si>
    <t>vew-iuvd-21</t>
  </si>
  <si>
    <t>vew-iuvd-22</t>
  </si>
  <si>
    <t>vew-iuvd-23</t>
  </si>
  <si>
    <t>vew-iuvd-24</t>
  </si>
  <si>
    <t>vew-iuvd-25</t>
  </si>
  <si>
    <t>vew-iuvd-26</t>
  </si>
  <si>
    <t>vew-iuvd-27</t>
  </si>
  <si>
    <t>vew-iuvd-28</t>
  </si>
  <si>
    <t>vew-iuvd-29</t>
  </si>
  <si>
    <t>vew-iuvd-30</t>
  </si>
  <si>
    <t>vew-iuvd-31</t>
  </si>
  <si>
    <t>out-950</t>
  </si>
  <si>
    <t>out-951</t>
  </si>
  <si>
    <t>out-952</t>
  </si>
  <si>
    <t>out-953</t>
  </si>
  <si>
    <t>out-954</t>
  </si>
  <si>
    <t>out-955</t>
  </si>
  <si>
    <t>out-956</t>
  </si>
  <si>
    <t>out-957</t>
  </si>
  <si>
    <t>out-958</t>
  </si>
  <si>
    <t>out-959</t>
  </si>
  <si>
    <t>out-960</t>
  </si>
  <si>
    <t>out-961</t>
  </si>
  <si>
    <t>out-962</t>
  </si>
  <si>
    <t>out-963</t>
  </si>
  <si>
    <t>out-964</t>
  </si>
  <si>
    <t>out-965</t>
  </si>
  <si>
    <t>out-966</t>
  </si>
  <si>
    <t>out-967</t>
  </si>
  <si>
    <t>out-968</t>
  </si>
  <si>
    <t>out-969</t>
  </si>
  <si>
    <t>out-970</t>
  </si>
  <si>
    <t>out-971</t>
  </si>
  <si>
    <t>out-972</t>
  </si>
  <si>
    <t>out-973</t>
  </si>
  <si>
    <t>out-974</t>
  </si>
  <si>
    <t>out-975</t>
  </si>
  <si>
    <t>out-976</t>
  </si>
  <si>
    <t>out-977</t>
  </si>
  <si>
    <t>out-978</t>
  </si>
  <si>
    <t>out-979</t>
  </si>
  <si>
    <t>out-980</t>
  </si>
  <si>
    <t>same_day</t>
  </si>
  <si>
    <t>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</si>
</sst>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5EB0-E6E5-46FA-B365-A7B68969FBD4}">
  <dimension ref="A1:G52"/>
  <sheetViews>
    <sheetView tabSelected="1" topLeftCell="B1" zoomScale="216" workbookViewId="0">
      <selection activeCell="C4" sqref="C4"/>
    </sheetView>
  </sheetViews>
  <sheetFormatPr defaultRowHeight="14.4" x14ac:dyDescent="0.3"/>
  <cols>
    <col min="1" max="1" width="11.109375" style="4" customWidth="1"/>
    <col min="2" max="2" width="21.21875" style="3" customWidth="1"/>
    <col min="3" max="3" width="23.21875" style="3" customWidth="1"/>
    <col min="4" max="4" width="11.109375" style="4" customWidth="1"/>
    <col min="5" max="5" width="12.21875" style="4" customWidth="1"/>
    <col min="6" max="6" width="11.5546875" customWidth="1"/>
    <col min="7" max="7" width="11.88671875" customWidth="1"/>
    <col min="8" max="8" width="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101</v>
      </c>
      <c r="G1" s="1" t="s">
        <v>102</v>
      </c>
    </row>
    <row r="2" spans="1:7" x14ac:dyDescent="0.3">
      <c r="A2" s="4" t="s">
        <v>9</v>
      </c>
      <c r="B2" s="2">
        <v>44428.818240740744</v>
      </c>
      <c r="C2" s="2">
        <v>44433.531435185185</v>
      </c>
      <c r="D2" s="4" t="s">
        <v>70</v>
      </c>
      <c r="E2" s="4" t="s">
        <v>39</v>
      </c>
      <c r="F2" t="b">
        <f>INT(B2)=INT(C2)</f>
        <v>0</v>
      </c>
      <c r="G2" t="b">
        <f>AND(INT(B2)=INT(C2), HOUR(B2)=HOUR(C2))</f>
        <v>0</v>
      </c>
    </row>
    <row r="3" spans="1:7" x14ac:dyDescent="0.3">
      <c r="A3" s="4" t="s">
        <v>10</v>
      </c>
      <c r="B3" s="2">
        <v>44429.441180555557</v>
      </c>
      <c r="C3" s="2">
        <v>44429.441180555557</v>
      </c>
      <c r="D3" s="4" t="s">
        <v>71</v>
      </c>
      <c r="E3" s="4" t="s">
        <v>40</v>
      </c>
      <c r="F3" t="b">
        <f t="shared" ref="F3:F32" si="0">INT(B3)=INT(C3)</f>
        <v>1</v>
      </c>
      <c r="G3" t="b">
        <f t="shared" ref="G3:G32" si="1">AND(INT(B3)=INT(C3), HOUR(B3)=HOUR(C3))</f>
        <v>1</v>
      </c>
    </row>
    <row r="4" spans="1:7" x14ac:dyDescent="0.3">
      <c r="A4" s="4" t="s">
        <v>11</v>
      </c>
      <c r="B4" s="2">
        <v>44424.404328703706</v>
      </c>
      <c r="C4" s="2">
        <v>44425.734189814815</v>
      </c>
      <c r="D4" s="4" t="s">
        <v>72</v>
      </c>
      <c r="E4" s="4" t="s">
        <v>41</v>
      </c>
      <c r="F4" t="b">
        <f t="shared" si="0"/>
        <v>0</v>
      </c>
      <c r="G4" t="b">
        <f t="shared" si="1"/>
        <v>0</v>
      </c>
    </row>
    <row r="5" spans="1:7" x14ac:dyDescent="0.3">
      <c r="A5" s="4" t="s">
        <v>12</v>
      </c>
      <c r="B5" s="2">
        <v>44424.84547453704</v>
      </c>
      <c r="C5" s="2">
        <v>44428.069780092592</v>
      </c>
      <c r="D5" s="4" t="s">
        <v>73</v>
      </c>
      <c r="E5" s="4" t="s">
        <v>42</v>
      </c>
      <c r="F5" t="b">
        <f t="shared" si="0"/>
        <v>0</v>
      </c>
      <c r="G5" t="b">
        <f t="shared" si="1"/>
        <v>0</v>
      </c>
    </row>
    <row r="6" spans="1:7" x14ac:dyDescent="0.3">
      <c r="A6" s="4" t="s">
        <v>13</v>
      </c>
      <c r="B6" s="2">
        <v>44428.612696759257</v>
      </c>
      <c r="C6" s="2">
        <v>44430.432141203702</v>
      </c>
      <c r="D6" s="4" t="s">
        <v>74</v>
      </c>
      <c r="E6" s="4" t="s">
        <v>43</v>
      </c>
      <c r="F6" t="b">
        <f t="shared" si="0"/>
        <v>0</v>
      </c>
      <c r="G6" t="b">
        <f t="shared" si="1"/>
        <v>0</v>
      </c>
    </row>
    <row r="7" spans="1:7" x14ac:dyDescent="0.3">
      <c r="A7" s="4" t="s">
        <v>14</v>
      </c>
      <c r="B7" s="2">
        <v>44426.073784722219</v>
      </c>
      <c r="C7" s="2">
        <v>44426.157118055555</v>
      </c>
      <c r="D7" s="4" t="s">
        <v>75</v>
      </c>
      <c r="E7" s="4" t="s">
        <v>44</v>
      </c>
      <c r="F7" t="b">
        <f t="shared" si="0"/>
        <v>1</v>
      </c>
      <c r="G7" t="b">
        <f t="shared" si="1"/>
        <v>0</v>
      </c>
    </row>
    <row r="8" spans="1:7" x14ac:dyDescent="0.3">
      <c r="A8" s="4" t="s">
        <v>15</v>
      </c>
      <c r="B8" s="2">
        <v>44428.197627314818</v>
      </c>
      <c r="C8" s="2">
        <v>44428.197627314818</v>
      </c>
      <c r="D8" s="4" t="s">
        <v>76</v>
      </c>
      <c r="E8" s="4" t="s">
        <v>45</v>
      </c>
      <c r="F8" t="b">
        <f t="shared" si="0"/>
        <v>1</v>
      </c>
      <c r="G8" t="b">
        <f t="shared" si="1"/>
        <v>1</v>
      </c>
    </row>
    <row r="9" spans="1:7" x14ac:dyDescent="0.3">
      <c r="A9" s="4" t="s">
        <v>8</v>
      </c>
      <c r="B9" s="2">
        <v>44423.661134259259</v>
      </c>
      <c r="C9" s="2">
        <v>44427.997245370374</v>
      </c>
      <c r="D9" s="4" t="s">
        <v>77</v>
      </c>
      <c r="E9" s="4" t="s">
        <v>46</v>
      </c>
      <c r="F9" t="b">
        <f t="shared" si="0"/>
        <v>0</v>
      </c>
      <c r="G9" t="b">
        <f t="shared" si="1"/>
        <v>0</v>
      </c>
    </row>
    <row r="10" spans="1:7" x14ac:dyDescent="0.3">
      <c r="A10" s="4" t="s">
        <v>16</v>
      </c>
      <c r="B10" s="2">
        <v>44427.122743055559</v>
      </c>
      <c r="C10" s="2">
        <v>44431.661631944444</v>
      </c>
      <c r="D10" s="4" t="s">
        <v>78</v>
      </c>
      <c r="E10" s="4" t="s">
        <v>47</v>
      </c>
      <c r="F10" t="b">
        <f t="shared" si="0"/>
        <v>0</v>
      </c>
      <c r="G10" t="b">
        <f t="shared" si="1"/>
        <v>0</v>
      </c>
    </row>
    <row r="11" spans="1:7" x14ac:dyDescent="0.3">
      <c r="A11" s="4" t="s">
        <v>17</v>
      </c>
      <c r="B11" s="2">
        <v>44433.923101851855</v>
      </c>
      <c r="C11" s="2">
        <v>44434.048101851855</v>
      </c>
      <c r="D11" s="4" t="s">
        <v>79</v>
      </c>
      <c r="E11" s="4" t="s">
        <v>48</v>
      </c>
      <c r="F11" t="b">
        <f t="shared" si="0"/>
        <v>0</v>
      </c>
      <c r="G11" t="b">
        <f t="shared" si="1"/>
        <v>0</v>
      </c>
    </row>
    <row r="12" spans="1:7" x14ac:dyDescent="0.3">
      <c r="A12" s="4" t="s">
        <v>18</v>
      </c>
      <c r="B12" s="2">
        <v>44431.699733796297</v>
      </c>
      <c r="C12" s="2">
        <v>44436.16778935185</v>
      </c>
      <c r="D12" s="4" t="s">
        <v>80</v>
      </c>
      <c r="E12" s="4" t="s">
        <v>49</v>
      </c>
      <c r="F12" t="b">
        <f t="shared" si="0"/>
        <v>0</v>
      </c>
      <c r="G12" t="b">
        <f t="shared" si="1"/>
        <v>0</v>
      </c>
    </row>
    <row r="13" spans="1:7" x14ac:dyDescent="0.3">
      <c r="A13" s="4" t="s">
        <v>19</v>
      </c>
      <c r="B13" s="2">
        <v>44426.021585648145</v>
      </c>
      <c r="C13" s="2">
        <v>44427.21603009259</v>
      </c>
      <c r="D13" s="4" t="s">
        <v>81</v>
      </c>
      <c r="E13" s="4" t="s">
        <v>50</v>
      </c>
      <c r="F13" t="b">
        <f t="shared" si="0"/>
        <v>0</v>
      </c>
      <c r="G13" t="b">
        <f t="shared" si="1"/>
        <v>0</v>
      </c>
    </row>
    <row r="14" spans="1:7" x14ac:dyDescent="0.3">
      <c r="A14" s="4" t="s">
        <v>20</v>
      </c>
      <c r="B14" s="2">
        <v>44426.227523148147</v>
      </c>
      <c r="C14" s="2">
        <v>44426.310856481483</v>
      </c>
      <c r="D14" s="4" t="s">
        <v>82</v>
      </c>
      <c r="E14" s="4" t="s">
        <v>51</v>
      </c>
      <c r="F14" t="b">
        <f t="shared" si="0"/>
        <v>1</v>
      </c>
      <c r="G14" t="b">
        <f t="shared" si="1"/>
        <v>0</v>
      </c>
    </row>
    <row r="15" spans="1:7" x14ac:dyDescent="0.3">
      <c r="A15" s="4" t="s">
        <v>21</v>
      </c>
      <c r="B15" s="2">
        <v>44432.939768518518</v>
      </c>
      <c r="C15" s="2">
        <v>44434.846712962964</v>
      </c>
      <c r="D15" s="4" t="s">
        <v>83</v>
      </c>
      <c r="E15" s="4" t="s">
        <v>52</v>
      </c>
      <c r="F15" t="b">
        <f t="shared" si="0"/>
        <v>0</v>
      </c>
      <c r="G15" t="b">
        <f t="shared" si="1"/>
        <v>0</v>
      </c>
    </row>
    <row r="16" spans="1:7" x14ac:dyDescent="0.3">
      <c r="A16" s="4" t="s">
        <v>22</v>
      </c>
      <c r="B16" s="2">
        <v>44425.247615740744</v>
      </c>
      <c r="C16" s="2">
        <v>44428.385115740741</v>
      </c>
      <c r="D16" s="4" t="s">
        <v>84</v>
      </c>
      <c r="E16" s="4" t="s">
        <v>53</v>
      </c>
      <c r="F16" t="b">
        <f t="shared" si="0"/>
        <v>0</v>
      </c>
      <c r="G16" t="b">
        <f t="shared" si="1"/>
        <v>0</v>
      </c>
    </row>
    <row r="17" spans="1:7" x14ac:dyDescent="0.3">
      <c r="A17" s="4" t="s">
        <v>23</v>
      </c>
      <c r="B17" s="2">
        <v>44429.561805555553</v>
      </c>
      <c r="C17" s="2">
        <v>44433.261805555558</v>
      </c>
      <c r="D17" s="4" t="s">
        <v>85</v>
      </c>
      <c r="E17" s="4" t="s">
        <v>54</v>
      </c>
      <c r="F17" t="b">
        <f t="shared" si="0"/>
        <v>0</v>
      </c>
      <c r="G17" t="b">
        <f t="shared" si="1"/>
        <v>0</v>
      </c>
    </row>
    <row r="18" spans="1:7" x14ac:dyDescent="0.3">
      <c r="A18" s="4" t="s">
        <v>24</v>
      </c>
      <c r="B18" s="2">
        <v>44426.040347222224</v>
      </c>
      <c r="C18" s="2">
        <v>44429.895902777775</v>
      </c>
      <c r="D18" s="4" t="s">
        <v>86</v>
      </c>
      <c r="E18" s="4" t="s">
        <v>55</v>
      </c>
      <c r="F18" t="b">
        <f t="shared" si="0"/>
        <v>0</v>
      </c>
      <c r="G18" t="b">
        <f t="shared" si="1"/>
        <v>0</v>
      </c>
    </row>
    <row r="19" spans="1:7" x14ac:dyDescent="0.3">
      <c r="A19" s="4" t="s">
        <v>25</v>
      </c>
      <c r="B19" s="2">
        <v>44432.589849537035</v>
      </c>
      <c r="C19" s="2">
        <v>44434.395405092589</v>
      </c>
      <c r="D19" s="4" t="s">
        <v>87</v>
      </c>
      <c r="E19" s="4" t="s">
        <v>56</v>
      </c>
      <c r="F19" t="b">
        <f t="shared" si="0"/>
        <v>0</v>
      </c>
      <c r="G19" t="b">
        <f t="shared" si="1"/>
        <v>0</v>
      </c>
    </row>
    <row r="20" spans="1:7" x14ac:dyDescent="0.3">
      <c r="A20" s="4" t="s">
        <v>26</v>
      </c>
      <c r="B20" s="2">
        <v>44430.338877314818</v>
      </c>
      <c r="C20" s="2">
        <v>44433.632627314815</v>
      </c>
      <c r="D20" s="4" t="s">
        <v>88</v>
      </c>
      <c r="E20" s="4" t="s">
        <v>57</v>
      </c>
      <c r="F20" t="b">
        <f t="shared" si="0"/>
        <v>0</v>
      </c>
      <c r="G20" t="b">
        <f t="shared" si="1"/>
        <v>0</v>
      </c>
    </row>
    <row r="21" spans="1:7" x14ac:dyDescent="0.3">
      <c r="A21" s="4" t="s">
        <v>27</v>
      </c>
      <c r="B21" s="2">
        <v>44427.086863425924</v>
      </c>
      <c r="C21" s="2">
        <v>44428.829224537039</v>
      </c>
      <c r="D21" s="4" t="s">
        <v>89</v>
      </c>
      <c r="E21" s="4" t="s">
        <v>58</v>
      </c>
      <c r="F21" t="b">
        <f t="shared" si="0"/>
        <v>0</v>
      </c>
      <c r="G21" t="b">
        <f t="shared" si="1"/>
        <v>0</v>
      </c>
    </row>
    <row r="22" spans="1:7" x14ac:dyDescent="0.3">
      <c r="A22" s="4" t="s">
        <v>28</v>
      </c>
      <c r="B22" s="2">
        <v>44425.529513888891</v>
      </c>
      <c r="C22" s="2">
        <v>44427.885763888888</v>
      </c>
      <c r="D22" s="4" t="s">
        <v>90</v>
      </c>
      <c r="E22" s="4" t="s">
        <v>59</v>
      </c>
      <c r="F22" t="b">
        <f t="shared" si="0"/>
        <v>0</v>
      </c>
      <c r="G22" t="b">
        <f t="shared" si="1"/>
        <v>0</v>
      </c>
    </row>
    <row r="23" spans="1:7" x14ac:dyDescent="0.3">
      <c r="A23" s="4" t="s">
        <v>29</v>
      </c>
      <c r="B23" s="2">
        <v>44432.884710648148</v>
      </c>
      <c r="C23" s="2">
        <v>44435.814571759256</v>
      </c>
      <c r="D23" s="4" t="s">
        <v>91</v>
      </c>
      <c r="E23" s="4" t="s">
        <v>60</v>
      </c>
      <c r="F23" t="b">
        <f t="shared" si="0"/>
        <v>0</v>
      </c>
      <c r="G23" t="b">
        <f t="shared" si="1"/>
        <v>0</v>
      </c>
    </row>
    <row r="24" spans="1:7" x14ac:dyDescent="0.3">
      <c r="A24" s="4" t="s">
        <v>30</v>
      </c>
      <c r="B24" s="2">
        <v>44430.237071759257</v>
      </c>
      <c r="C24" s="2">
        <v>44434.372488425928</v>
      </c>
      <c r="D24" s="4" t="s">
        <v>92</v>
      </c>
      <c r="E24" s="4" t="s">
        <v>61</v>
      </c>
      <c r="F24" t="b">
        <f t="shared" si="0"/>
        <v>0</v>
      </c>
      <c r="G24" t="b">
        <f t="shared" si="1"/>
        <v>0</v>
      </c>
    </row>
    <row r="25" spans="1:7" x14ac:dyDescent="0.3">
      <c r="A25" s="4" t="s">
        <v>31</v>
      </c>
      <c r="B25" s="2">
        <v>44426.431261574071</v>
      </c>
      <c r="C25" s="2">
        <v>44429.190983796296</v>
      </c>
      <c r="D25" s="4" t="s">
        <v>93</v>
      </c>
      <c r="E25" s="4" t="s">
        <v>62</v>
      </c>
      <c r="F25" t="b">
        <f t="shared" si="0"/>
        <v>0</v>
      </c>
      <c r="G25" t="b">
        <f t="shared" si="1"/>
        <v>0</v>
      </c>
    </row>
    <row r="26" spans="1:7" x14ac:dyDescent="0.3">
      <c r="A26" s="4" t="s">
        <v>32</v>
      </c>
      <c r="B26" s="2">
        <v>44423.448379629626</v>
      </c>
      <c r="C26" s="2">
        <v>44423.448379629626</v>
      </c>
      <c r="D26" s="4" t="s">
        <v>94</v>
      </c>
      <c r="E26" s="4" t="s">
        <v>63</v>
      </c>
      <c r="F26" t="b">
        <f t="shared" si="0"/>
        <v>1</v>
      </c>
      <c r="G26" t="b">
        <f t="shared" si="1"/>
        <v>1</v>
      </c>
    </row>
    <row r="27" spans="1:7" x14ac:dyDescent="0.3">
      <c r="A27" s="4" t="s">
        <v>33</v>
      </c>
      <c r="B27" s="2">
        <v>44423.753148148149</v>
      </c>
      <c r="C27" s="2">
        <v>44423.836481481485</v>
      </c>
      <c r="D27" s="4" t="s">
        <v>95</v>
      </c>
      <c r="E27" s="4" t="s">
        <v>64</v>
      </c>
      <c r="F27" t="b">
        <f t="shared" si="0"/>
        <v>1</v>
      </c>
      <c r="G27" t="b">
        <f t="shared" si="1"/>
        <v>0</v>
      </c>
    </row>
    <row r="28" spans="1:7" x14ac:dyDescent="0.3">
      <c r="A28" s="4" t="s">
        <v>34</v>
      </c>
      <c r="B28" s="2">
        <v>44427.047754629632</v>
      </c>
      <c r="C28" s="2">
        <v>44431.374143518522</v>
      </c>
      <c r="D28" s="4" t="s">
        <v>96</v>
      </c>
      <c r="E28" s="4" t="s">
        <v>65</v>
      </c>
      <c r="F28" t="b">
        <f t="shared" si="0"/>
        <v>0</v>
      </c>
      <c r="G28" t="b">
        <f t="shared" si="1"/>
        <v>0</v>
      </c>
    </row>
    <row r="29" spans="1:7" x14ac:dyDescent="0.3">
      <c r="A29" s="4" t="s">
        <v>35</v>
      </c>
      <c r="B29" s="2">
        <v>44430.883402777778</v>
      </c>
      <c r="C29" s="2">
        <v>44430.883402777778</v>
      </c>
      <c r="D29" s="4" t="s">
        <v>97</v>
      </c>
      <c r="E29" s="4" t="s">
        <v>66</v>
      </c>
      <c r="F29" t="b">
        <f t="shared" si="0"/>
        <v>1</v>
      </c>
      <c r="G29" t="b">
        <f t="shared" si="1"/>
        <v>1</v>
      </c>
    </row>
    <row r="30" spans="1:7" x14ac:dyDescent="0.3">
      <c r="A30" s="4" t="s">
        <v>36</v>
      </c>
      <c r="B30" s="2">
        <v>44428.893391203703</v>
      </c>
      <c r="C30" s="2">
        <v>44430.796863425923</v>
      </c>
      <c r="D30" s="4" t="s">
        <v>98</v>
      </c>
      <c r="E30" s="4" t="s">
        <v>67</v>
      </c>
      <c r="F30" t="b">
        <f t="shared" si="0"/>
        <v>0</v>
      </c>
      <c r="G30" t="b">
        <f t="shared" si="1"/>
        <v>0</v>
      </c>
    </row>
    <row r="31" spans="1:7" x14ac:dyDescent="0.3">
      <c r="A31" s="4" t="s">
        <v>37</v>
      </c>
      <c r="B31" s="2">
        <v>44433.460706018515</v>
      </c>
      <c r="C31" s="2">
        <v>44434.760706018518</v>
      </c>
      <c r="D31" s="4" t="s">
        <v>99</v>
      </c>
      <c r="E31" s="4" t="s">
        <v>68</v>
      </c>
      <c r="F31" t="b">
        <f t="shared" si="0"/>
        <v>0</v>
      </c>
      <c r="G31" t="b">
        <f t="shared" si="1"/>
        <v>0</v>
      </c>
    </row>
    <row r="32" spans="1:7" x14ac:dyDescent="0.3">
      <c r="A32" s="4" t="s">
        <v>38</v>
      </c>
      <c r="B32" s="2">
        <v>44427.061203703706</v>
      </c>
      <c r="C32" s="2">
        <v>44430.654953703706</v>
      </c>
      <c r="D32" s="4" t="s">
        <v>100</v>
      </c>
      <c r="E32" s="4" t="s">
        <v>69</v>
      </c>
      <c r="F32" t="b">
        <f t="shared" si="0"/>
        <v>0</v>
      </c>
      <c r="G32" t="b">
        <f t="shared" si="1"/>
        <v>0</v>
      </c>
    </row>
    <row r="33" spans="2:3" x14ac:dyDescent="0.3">
      <c r="B33" s="2"/>
      <c r="C33" s="2"/>
    </row>
    <row r="34" spans="2:3" x14ac:dyDescent="0.3">
      <c r="B34" s="2"/>
      <c r="C34" s="2"/>
    </row>
    <row r="35" spans="2:3" x14ac:dyDescent="0.3">
      <c r="B35" s="2"/>
      <c r="C35" s="2"/>
    </row>
    <row r="36" spans="2:3" x14ac:dyDescent="0.3">
      <c r="B36" s="2"/>
      <c r="C36" s="2"/>
    </row>
    <row r="37" spans="2:3" x14ac:dyDescent="0.3">
      <c r="B37" s="2"/>
      <c r="C37" s="2"/>
    </row>
    <row r="38" spans="2:3" x14ac:dyDescent="0.3">
      <c r="B38" s="2"/>
      <c r="C38" s="2"/>
    </row>
    <row r="39" spans="2:3" x14ac:dyDescent="0.3">
      <c r="B39" s="2"/>
      <c r="C39" s="2"/>
    </row>
    <row r="40" spans="2:3" x14ac:dyDescent="0.3">
      <c r="B40" s="2"/>
      <c r="C40" s="2"/>
    </row>
    <row r="41" spans="2:3" x14ac:dyDescent="0.3">
      <c r="B41" s="2"/>
      <c r="C41" s="2"/>
    </row>
    <row r="42" spans="2:3" x14ac:dyDescent="0.3">
      <c r="B42" s="2"/>
      <c r="C42" s="2"/>
    </row>
    <row r="43" spans="2:3" x14ac:dyDescent="0.3">
      <c r="B43" s="2"/>
      <c r="C43" s="2"/>
    </row>
    <row r="44" spans="2:3" x14ac:dyDescent="0.3">
      <c r="B44" s="2"/>
      <c r="C44" s="2"/>
    </row>
    <row r="45" spans="2:3" x14ac:dyDescent="0.3">
      <c r="B45" s="2"/>
      <c r="C45" s="2"/>
    </row>
    <row r="46" spans="2:3" x14ac:dyDescent="0.3">
      <c r="B46" s="2"/>
      <c r="C46" s="2"/>
    </row>
    <row r="47" spans="2:3" x14ac:dyDescent="0.3">
      <c r="B47" s="2"/>
      <c r="C47" s="2"/>
    </row>
    <row r="48" spans="2:3" x14ac:dyDescent="0.3">
      <c r="B48" s="2"/>
      <c r="C48" s="2"/>
    </row>
    <row r="49" spans="2:3" x14ac:dyDescent="0.3">
      <c r="B49" s="2"/>
      <c r="C49" s="2"/>
    </row>
    <row r="50" spans="2:3" x14ac:dyDescent="0.3">
      <c r="B50" s="2"/>
      <c r="C50" s="2"/>
    </row>
    <row r="51" spans="2:3" x14ac:dyDescent="0.3">
      <c r="B51" s="2"/>
      <c r="C51" s="2"/>
    </row>
    <row r="52" spans="2:3" x14ac:dyDescent="0.3">
      <c r="B52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7F0A-1274-4A29-B2DF-998F76FDDA5E}">
  <dimension ref="A1:D51"/>
  <sheetViews>
    <sheetView zoomScale="222" workbookViewId="0">
      <selection activeCell="D2" sqref="D2"/>
    </sheetView>
  </sheetViews>
  <sheetFormatPr defaultRowHeight="14.4" x14ac:dyDescent="0.3"/>
  <cols>
    <col min="1" max="1" width="11.44140625" style="4" customWidth="1"/>
    <col min="2" max="2" width="20.21875" style="3" customWidth="1"/>
    <col min="3" max="3" width="15.6640625" style="3" customWidth="1"/>
    <col min="4" max="4" width="20.6640625" style="4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4" t="s">
        <v>39</v>
      </c>
      <c r="B2" s="2">
        <v>44432.151574074072</v>
      </c>
      <c r="C2" s="3">
        <v>1</v>
      </c>
      <c r="D2" s="5">
        <f>IFERROR(INDEX(Ticket!$B:$B, MATCH($A2, Ticket!$E:$E, 0)), "")</f>
        <v>44428.818240740744</v>
      </c>
    </row>
    <row r="3" spans="1:4" x14ac:dyDescent="0.3">
      <c r="A3" s="4" t="s">
        <v>40</v>
      </c>
      <c r="B3" s="2">
        <v>44429.857847222222</v>
      </c>
      <c r="C3" s="3">
        <v>2</v>
      </c>
      <c r="D3" s="5">
        <f>IFERROR(INDEX(Ticket!$B:$B, MATCH($A3, Ticket!$E:$E, 0)), "")</f>
        <v>44429.441180555557</v>
      </c>
    </row>
    <row r="4" spans="1:4" x14ac:dyDescent="0.3">
      <c r="A4" s="4" t="s">
        <v>41</v>
      </c>
      <c r="B4" s="2">
        <v>44429.737662037034</v>
      </c>
      <c r="C4" s="3">
        <v>2</v>
      </c>
      <c r="D4" s="5">
        <f>IFERROR(INDEX(Ticket!$B:$B, MATCH($A4, Ticket!$E:$E, 0)), "")</f>
        <v>44424.404328703706</v>
      </c>
    </row>
    <row r="5" spans="1:4" x14ac:dyDescent="0.3">
      <c r="A5" s="4" t="s">
        <v>42</v>
      </c>
      <c r="B5" s="2">
        <v>44430.428807870368</v>
      </c>
      <c r="C5" s="3">
        <v>5</v>
      </c>
      <c r="D5" s="5">
        <f>IFERROR(INDEX(Ticket!$B:$B, MATCH($A5, Ticket!$E:$E, 0)), "")</f>
        <v>44424.84547453704</v>
      </c>
    </row>
    <row r="6" spans="1:4" x14ac:dyDescent="0.3">
      <c r="A6" s="4" t="s">
        <v>43</v>
      </c>
      <c r="B6" s="2">
        <v>44434.154363425929</v>
      </c>
      <c r="C6" s="3">
        <v>5</v>
      </c>
      <c r="D6" s="5">
        <f>IFERROR(INDEX(Ticket!$B:$B, MATCH($A6, Ticket!$E:$E, 0)), "")</f>
        <v>44428.612696759257</v>
      </c>
    </row>
    <row r="7" spans="1:4" x14ac:dyDescent="0.3">
      <c r="A7" s="4" t="s">
        <v>44</v>
      </c>
      <c r="B7" s="2">
        <v>44426.198784722219</v>
      </c>
      <c r="C7" s="3">
        <v>1</v>
      </c>
      <c r="D7" s="5">
        <f>IFERROR(INDEX(Ticket!$B:$B, MATCH($A7, Ticket!$E:$E, 0)), "")</f>
        <v>44426.073784722219</v>
      </c>
    </row>
    <row r="8" spans="1:4" x14ac:dyDescent="0.3">
      <c r="A8" s="4" t="s">
        <v>45</v>
      </c>
      <c r="B8" s="2">
        <v>44433.364293981482</v>
      </c>
      <c r="C8" s="3">
        <v>5</v>
      </c>
      <c r="D8" s="5">
        <f>IFERROR(INDEX(Ticket!$B:$B, MATCH($A8, Ticket!$E:$E, 0)), "")</f>
        <v>44428.197627314818</v>
      </c>
    </row>
    <row r="9" spans="1:4" x14ac:dyDescent="0.3">
      <c r="A9" s="4" t="s">
        <v>46</v>
      </c>
      <c r="B9" s="2">
        <v>44424.119467592594</v>
      </c>
      <c r="C9" s="3">
        <v>5</v>
      </c>
      <c r="D9" s="5">
        <f>IFERROR(INDEX(Ticket!$B:$B, MATCH($A9, Ticket!$E:$E, 0)), "")</f>
        <v>44423.661134259259</v>
      </c>
    </row>
    <row r="10" spans="1:4" x14ac:dyDescent="0.3">
      <c r="A10" s="4" t="s">
        <v>47</v>
      </c>
      <c r="B10" s="2">
        <v>44431.289409722223</v>
      </c>
      <c r="C10" s="3">
        <v>4</v>
      </c>
      <c r="D10" s="5">
        <f>IFERROR(INDEX(Ticket!$B:$B, MATCH($A10, Ticket!$E:$E, 0)), "")</f>
        <v>44427.122743055559</v>
      </c>
    </row>
    <row r="11" spans="1:4" x14ac:dyDescent="0.3">
      <c r="A11" s="4" t="s">
        <v>48</v>
      </c>
      <c r="B11" s="2">
        <v>44434.964768518519</v>
      </c>
      <c r="C11" s="3">
        <v>3</v>
      </c>
      <c r="D11" s="5">
        <f>IFERROR(INDEX(Ticket!$B:$B, MATCH($A11, Ticket!$E:$E, 0)), "")</f>
        <v>44433.923101851855</v>
      </c>
    </row>
    <row r="12" spans="1:4" x14ac:dyDescent="0.3">
      <c r="A12" s="4" t="s">
        <v>49</v>
      </c>
      <c r="B12" s="2">
        <v>44433.741400462961</v>
      </c>
      <c r="C12" s="3">
        <v>3</v>
      </c>
      <c r="D12" s="5">
        <f>IFERROR(INDEX(Ticket!$B:$B, MATCH($A12, Ticket!$E:$E, 0)), "")</f>
        <v>44431.699733796297</v>
      </c>
    </row>
    <row r="13" spans="1:4" x14ac:dyDescent="0.3">
      <c r="A13" s="4" t="s">
        <v>50</v>
      </c>
      <c r="B13" s="2">
        <v>44427.896585648145</v>
      </c>
      <c r="C13" s="3">
        <v>2</v>
      </c>
      <c r="D13" s="5">
        <f>IFERROR(INDEX(Ticket!$B:$B, MATCH($A13, Ticket!$E:$E, 0)), "")</f>
        <v>44426.021585648145</v>
      </c>
    </row>
    <row r="14" spans="1:4" x14ac:dyDescent="0.3">
      <c r="A14" s="4" t="s">
        <v>51</v>
      </c>
      <c r="B14" s="2">
        <v>44431.352523148147</v>
      </c>
      <c r="C14" s="3">
        <v>3</v>
      </c>
      <c r="D14" s="5">
        <f>IFERROR(INDEX(Ticket!$B:$B, MATCH($A14, Ticket!$E:$E, 0)), "")</f>
        <v>44426.227523148147</v>
      </c>
    </row>
    <row r="15" spans="1:4" x14ac:dyDescent="0.3">
      <c r="A15" s="4" t="s">
        <v>52</v>
      </c>
      <c r="B15" s="2">
        <v>44437.481435185182</v>
      </c>
      <c r="C15" s="3">
        <v>5</v>
      </c>
      <c r="D15" s="5">
        <f>IFERROR(INDEX(Ticket!$B:$B, MATCH($A15, Ticket!$E:$E, 0)), "")</f>
        <v>44432.939768518518</v>
      </c>
    </row>
    <row r="16" spans="1:4" x14ac:dyDescent="0.3">
      <c r="A16" s="4" t="s">
        <v>53</v>
      </c>
      <c r="B16" s="2">
        <v>44430.414282407408</v>
      </c>
      <c r="C16" s="3">
        <v>2</v>
      </c>
      <c r="D16" s="5">
        <f>IFERROR(INDEX(Ticket!$B:$B, MATCH($A16, Ticket!$E:$E, 0)), "")</f>
        <v>44425.247615740744</v>
      </c>
    </row>
    <row r="17" spans="1:4" x14ac:dyDescent="0.3">
      <c r="A17" s="4" t="s">
        <v>54</v>
      </c>
      <c r="B17" s="2">
        <v>44430.770138888889</v>
      </c>
      <c r="C17" s="3">
        <v>4</v>
      </c>
      <c r="D17" s="5">
        <f>IFERROR(INDEX(Ticket!$B:$B, MATCH($A17, Ticket!$E:$E, 0)), "")</f>
        <v>44429.561805555553</v>
      </c>
    </row>
    <row r="18" spans="1:4" x14ac:dyDescent="0.3">
      <c r="A18" s="4" t="s">
        <v>55</v>
      </c>
      <c r="B18" s="2">
        <v>44426.248680555553</v>
      </c>
      <c r="C18" s="3">
        <v>3</v>
      </c>
      <c r="D18" s="5">
        <f>IFERROR(INDEX(Ticket!$B:$B, MATCH($A18, Ticket!$E:$E, 0)), "")</f>
        <v>44426.040347222224</v>
      </c>
    </row>
    <row r="19" spans="1:4" x14ac:dyDescent="0.3">
      <c r="A19" s="4" t="s">
        <v>56</v>
      </c>
      <c r="B19" s="2">
        <v>44436.464849537035</v>
      </c>
      <c r="C19" s="3">
        <v>2</v>
      </c>
      <c r="D19" s="5">
        <f>IFERROR(INDEX(Ticket!$B:$B, MATCH($A19, Ticket!$E:$E, 0)), "")</f>
        <v>44432.589849537035</v>
      </c>
    </row>
    <row r="20" spans="1:4" x14ac:dyDescent="0.3">
      <c r="A20" s="4" t="s">
        <v>57</v>
      </c>
      <c r="B20" s="2">
        <v>44432.547210648147</v>
      </c>
      <c r="C20" s="3">
        <v>1</v>
      </c>
      <c r="D20" s="5">
        <f>IFERROR(INDEX(Ticket!$B:$B, MATCH($A20, Ticket!$E:$E, 0)), "")</f>
        <v>44430.338877314818</v>
      </c>
    </row>
    <row r="21" spans="1:4" x14ac:dyDescent="0.3">
      <c r="A21" s="4" t="s">
        <v>58</v>
      </c>
      <c r="B21" s="2">
        <v>44430.128530092596</v>
      </c>
      <c r="C21" s="3">
        <v>4</v>
      </c>
      <c r="D21" s="5">
        <f>IFERROR(INDEX(Ticket!$B:$B, MATCH($A21, Ticket!$E:$E, 0)), "")</f>
        <v>44427.086863425924</v>
      </c>
    </row>
    <row r="22" spans="1:4" x14ac:dyDescent="0.3">
      <c r="A22" s="4" t="s">
        <v>59</v>
      </c>
      <c r="B22" s="2">
        <v>44426.779513888891</v>
      </c>
      <c r="C22" s="3">
        <v>4</v>
      </c>
      <c r="D22" s="5">
        <f>IFERROR(INDEX(Ticket!$B:$B, MATCH($A22, Ticket!$E:$E, 0)), "")</f>
        <v>44425.529513888891</v>
      </c>
    </row>
    <row r="23" spans="1:4" x14ac:dyDescent="0.3">
      <c r="A23" s="4" t="s">
        <v>60</v>
      </c>
      <c r="B23" s="2">
        <v>44435.259710648148</v>
      </c>
      <c r="C23" s="3">
        <v>2</v>
      </c>
      <c r="D23" s="5">
        <f>IFERROR(INDEX(Ticket!$B:$B, MATCH($A23, Ticket!$E:$E, 0)), "")</f>
        <v>44432.884710648148</v>
      </c>
    </row>
    <row r="24" spans="1:4" x14ac:dyDescent="0.3">
      <c r="A24" s="4" t="s">
        <v>61</v>
      </c>
      <c r="B24" s="2">
        <v>44431.237071759257</v>
      </c>
      <c r="C24" s="3">
        <v>2</v>
      </c>
      <c r="D24" s="5">
        <f>IFERROR(INDEX(Ticket!$B:$B, MATCH($A24, Ticket!$E:$E, 0)), "")</f>
        <v>44430.237071759257</v>
      </c>
    </row>
    <row r="25" spans="1:4" x14ac:dyDescent="0.3">
      <c r="A25" s="4" t="s">
        <v>62</v>
      </c>
      <c r="B25" s="2">
        <v>44429.847928240742</v>
      </c>
      <c r="C25" s="3">
        <v>3</v>
      </c>
      <c r="D25" s="5">
        <f>IFERROR(INDEX(Ticket!$B:$B, MATCH($A25, Ticket!$E:$E, 0)), "")</f>
        <v>44426.431261574071</v>
      </c>
    </row>
    <row r="26" spans="1:4" x14ac:dyDescent="0.3">
      <c r="A26" s="4" t="s">
        <v>63</v>
      </c>
      <c r="B26" s="2">
        <v>44423.781712962962</v>
      </c>
      <c r="C26" s="3">
        <v>3</v>
      </c>
      <c r="D26" s="5">
        <f>IFERROR(INDEX(Ticket!$B:$B, MATCH($A26, Ticket!$E:$E, 0)), "")</f>
        <v>44423.448379629626</v>
      </c>
    </row>
    <row r="27" spans="1:4" x14ac:dyDescent="0.3">
      <c r="A27" s="4" t="s">
        <v>64</v>
      </c>
      <c r="B27" s="2">
        <v>44429.419814814813</v>
      </c>
      <c r="C27" s="3">
        <v>4</v>
      </c>
      <c r="D27" s="5">
        <f>IFERROR(INDEX(Ticket!$B:$B, MATCH($A27, Ticket!$E:$E, 0)), "")</f>
        <v>44423.753148148149</v>
      </c>
    </row>
    <row r="28" spans="1:4" x14ac:dyDescent="0.3">
      <c r="A28" s="4" t="s">
        <v>65</v>
      </c>
      <c r="B28" s="2">
        <v>44432.75608796296</v>
      </c>
      <c r="C28" s="3">
        <v>3</v>
      </c>
      <c r="D28" s="5">
        <f>IFERROR(INDEX(Ticket!$B:$B, MATCH($A28, Ticket!$E:$E, 0)), "")</f>
        <v>44427.047754629632</v>
      </c>
    </row>
    <row r="29" spans="1:4" x14ac:dyDescent="0.3">
      <c r="A29" s="4" t="s">
        <v>66</v>
      </c>
      <c r="B29" s="2">
        <v>44431.008402777778</v>
      </c>
      <c r="C29" s="3">
        <v>3</v>
      </c>
      <c r="D29" s="5">
        <f>IFERROR(INDEX(Ticket!$B:$B, MATCH($A29, Ticket!$E:$E, 0)), "")</f>
        <v>44430.883402777778</v>
      </c>
    </row>
    <row r="30" spans="1:4" x14ac:dyDescent="0.3">
      <c r="A30" s="4" t="s">
        <v>67</v>
      </c>
      <c r="B30" s="2">
        <v>44430.643391203703</v>
      </c>
      <c r="C30" s="3">
        <v>3</v>
      </c>
      <c r="D30" s="5">
        <f>IFERROR(INDEX(Ticket!$B:$B, MATCH($A30, Ticket!$E:$E, 0)), "")</f>
        <v>44428.893391203703</v>
      </c>
    </row>
    <row r="31" spans="1:4" x14ac:dyDescent="0.3">
      <c r="A31" s="4" t="s">
        <v>68</v>
      </c>
      <c r="B31" s="2">
        <v>44433.585706018515</v>
      </c>
      <c r="C31" s="3">
        <v>5</v>
      </c>
      <c r="D31" s="5">
        <f>IFERROR(INDEX(Ticket!$B:$B, MATCH($A31, Ticket!$E:$E, 0)), "")</f>
        <v>44433.460706018515</v>
      </c>
    </row>
    <row r="32" spans="1:4" x14ac:dyDescent="0.3">
      <c r="A32" s="4" t="s">
        <v>69</v>
      </c>
      <c r="B32" s="2">
        <v>44430.519537037035</v>
      </c>
      <c r="C32" s="3">
        <v>3</v>
      </c>
      <c r="D32" s="5">
        <f>IFERROR(INDEX(Ticket!$B:$B, MATCH($A32, Ticket!$E:$E, 0)), "")</f>
        <v>44427.061203703706</v>
      </c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Ameer</dc:creator>
  <cp:lastModifiedBy>Akmal Ameer</cp:lastModifiedBy>
  <dcterms:created xsi:type="dcterms:W3CDTF">2025-12-03T04:15:31Z</dcterms:created>
  <dcterms:modified xsi:type="dcterms:W3CDTF">2025-12-03T04:57:57Z</dcterms:modified>
</cp:coreProperties>
</file>